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tatistics Folder\"/>
    </mc:Choice>
  </mc:AlternateContent>
  <xr:revisionPtr revIDLastSave="0" documentId="13_ncr:1_{A16DD615-2640-48B9-85CA-DE6A1F01513B}" xr6:coauthVersionLast="47" xr6:coauthVersionMax="47" xr10:uidLastSave="{00000000-0000-0000-0000-000000000000}"/>
  <bookViews>
    <workbookView xWindow="-110" yWindow="-110" windowWidth="19420" windowHeight="10300" xr2:uid="{31E44AAF-0C8C-4068-9BF7-C46283604EEA}"/>
  </bookViews>
  <sheets>
    <sheet name="Q.1" sheetId="3" r:id="rId1"/>
    <sheet name="Q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F28" i="2" s="1"/>
  <c r="E28" i="2"/>
  <c r="E29" i="2" s="1"/>
  <c r="E27" i="2"/>
  <c r="D27" i="2"/>
  <c r="D29" i="2"/>
  <c r="E21" i="2"/>
  <c r="E20" i="2"/>
  <c r="D21" i="2"/>
  <c r="D20" i="2"/>
  <c r="K12" i="2"/>
  <c r="J14" i="2"/>
  <c r="K14" i="2"/>
  <c r="I14" i="2"/>
  <c r="K13" i="2"/>
  <c r="J13" i="2"/>
  <c r="I13" i="2"/>
  <c r="J12" i="2"/>
  <c r="I12" i="2"/>
  <c r="E14" i="2"/>
  <c r="F27" i="2" l="1"/>
  <c r="F29" i="2" s="1"/>
  <c r="F21" i="2"/>
  <c r="D22" i="2"/>
  <c r="E22" i="2"/>
  <c r="F20" i="2"/>
  <c r="F22" i="2" l="1"/>
</calcChain>
</file>

<file path=xl/sharedStrings.xml><?xml version="1.0" encoding="utf-8"?>
<sst xmlns="http://schemas.openxmlformats.org/spreadsheetml/2006/main" count="72" uniqueCount="43">
  <si>
    <t>Q.1</t>
  </si>
  <si>
    <t>Mean</t>
  </si>
  <si>
    <t>Standard Deviation</t>
  </si>
  <si>
    <t>Size</t>
  </si>
  <si>
    <t>Girls</t>
  </si>
  <si>
    <t>Boys</t>
  </si>
  <si>
    <t>Ho-</t>
  </si>
  <si>
    <t>mean1= mean2</t>
  </si>
  <si>
    <t>H1-</t>
  </si>
  <si>
    <t>mean1&lt;&gt;mean2</t>
  </si>
  <si>
    <t>Sample means have no significant difference in intelligence</t>
  </si>
  <si>
    <t>Sample means have significant difference in intelligence</t>
  </si>
  <si>
    <t>p value</t>
  </si>
  <si>
    <t>alpha</t>
  </si>
  <si>
    <t>&lt;</t>
  </si>
  <si>
    <t>Conclusion-</t>
  </si>
  <si>
    <t>so we reject the null hypothesis and can say that sample</t>
  </si>
  <si>
    <t>means have significant difference in intelligence.</t>
  </si>
  <si>
    <t>Q.2</t>
  </si>
  <si>
    <t>Smokers</t>
  </si>
  <si>
    <t>Non-smokers</t>
  </si>
  <si>
    <t>Diagnosed</t>
  </si>
  <si>
    <t>Not Diagnosed</t>
  </si>
  <si>
    <t>Total</t>
  </si>
  <si>
    <t>Smoking does not causes cancer</t>
  </si>
  <si>
    <t>Smoking does causes cancer</t>
  </si>
  <si>
    <t>Oi</t>
  </si>
  <si>
    <t>Ei</t>
  </si>
  <si>
    <t>(Oi-Ei)^2</t>
  </si>
  <si>
    <t>Using T Two Sample test with equal variances</t>
  </si>
  <si>
    <t>t crit</t>
  </si>
  <si>
    <t>t stat</t>
  </si>
  <si>
    <t>Here our p value is less than significance level , and t crit is also less than t stat</t>
  </si>
  <si>
    <t>(Oi-Ei)^2/Ei</t>
  </si>
  <si>
    <t>X^2 crit</t>
  </si>
  <si>
    <t>X^2 cal</t>
  </si>
  <si>
    <t>Here our Xcrit value is less than Xcal ,</t>
  </si>
  <si>
    <t xml:space="preserve">so we reject the null hypothesis and can say that </t>
  </si>
  <si>
    <t>there is significant relationship between smoking and cancer that means</t>
  </si>
  <si>
    <t>Smoking does causes cancer.</t>
  </si>
  <si>
    <t>Result -</t>
  </si>
  <si>
    <t>and according to that found p value and t crit values through table.</t>
  </si>
  <si>
    <t>From t test formula we have calculated the value of t stat and degree of 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</si>
</sst>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FC78-8315-4637-B4A8-14AABF6400E6}">
  <dimension ref="A2:L16"/>
  <sheetViews>
    <sheetView tabSelected="1" workbookViewId="0">
      <selection activeCell="B3" sqref="B3:E5"/>
    </sheetView>
  </sheetViews>
  <sheetFormatPr defaultRowHeight="14.5" x14ac:dyDescent="0.35"/>
  <cols>
    <col min="4" max="4" width="17" bestFit="1" customWidth="1"/>
    <col min="10" max="11" width="10.54296875" bestFit="1" customWidth="1"/>
  </cols>
  <sheetData>
    <row r="2" spans="1:12" x14ac:dyDescent="0.35">
      <c r="A2" t="s">
        <v>0</v>
      </c>
    </row>
    <row r="3" spans="1:12" x14ac:dyDescent="0.35">
      <c r="B3" s="2"/>
      <c r="C3" s="2" t="s">
        <v>1</v>
      </c>
      <c r="D3" s="2" t="s">
        <v>2</v>
      </c>
      <c r="E3" s="2" t="s">
        <v>3</v>
      </c>
    </row>
    <row r="4" spans="1:12" x14ac:dyDescent="0.35">
      <c r="B4" s="2" t="s">
        <v>4</v>
      </c>
      <c r="C4" s="2">
        <v>89</v>
      </c>
      <c r="D4" s="2">
        <v>4</v>
      </c>
      <c r="E4" s="2">
        <v>50</v>
      </c>
      <c r="J4" t="s">
        <v>42</v>
      </c>
    </row>
    <row r="5" spans="1:12" x14ac:dyDescent="0.35">
      <c r="B5" s="2" t="s">
        <v>5</v>
      </c>
      <c r="C5" s="2">
        <v>82</v>
      </c>
      <c r="D5" s="2">
        <v>9</v>
      </c>
      <c r="E5" s="2">
        <v>120</v>
      </c>
      <c r="J5" t="s">
        <v>41</v>
      </c>
    </row>
    <row r="7" spans="1:12" x14ac:dyDescent="0.35">
      <c r="H7" t="s">
        <v>40</v>
      </c>
      <c r="J7" s="1" t="s">
        <v>30</v>
      </c>
      <c r="K7" s="1"/>
      <c r="L7" s="1" t="s">
        <v>31</v>
      </c>
    </row>
    <row r="8" spans="1:12" x14ac:dyDescent="0.35">
      <c r="B8" t="s">
        <v>29</v>
      </c>
      <c r="J8" s="1">
        <v>1.97</v>
      </c>
      <c r="K8" s="1" t="s">
        <v>14</v>
      </c>
      <c r="L8" s="1">
        <v>5.2389999999999999</v>
      </c>
    </row>
    <row r="9" spans="1:12" x14ac:dyDescent="0.35">
      <c r="J9" s="1"/>
      <c r="K9" s="1"/>
      <c r="L9" s="1"/>
    </row>
    <row r="10" spans="1:12" x14ac:dyDescent="0.35">
      <c r="J10" s="1" t="s">
        <v>12</v>
      </c>
      <c r="K10" s="1"/>
      <c r="L10" s="1" t="s">
        <v>13</v>
      </c>
    </row>
    <row r="11" spans="1:12" x14ac:dyDescent="0.35">
      <c r="B11" t="s">
        <v>6</v>
      </c>
      <c r="C11" t="s">
        <v>7</v>
      </c>
      <c r="J11" s="1">
        <v>0</v>
      </c>
      <c r="K11" s="1" t="s">
        <v>14</v>
      </c>
      <c r="L11" s="1">
        <v>0.05</v>
      </c>
    </row>
    <row r="12" spans="1:12" x14ac:dyDescent="0.35">
      <c r="C12" t="s">
        <v>10</v>
      </c>
    </row>
    <row r="14" spans="1:12" x14ac:dyDescent="0.35">
      <c r="B14" t="s">
        <v>8</v>
      </c>
      <c r="C14" t="s">
        <v>9</v>
      </c>
      <c r="J14" t="s">
        <v>15</v>
      </c>
      <c r="K14" t="s">
        <v>32</v>
      </c>
    </row>
    <row r="15" spans="1:12" x14ac:dyDescent="0.35">
      <c r="C15" t="s">
        <v>11</v>
      </c>
      <c r="K15" t="s">
        <v>16</v>
      </c>
    </row>
    <row r="16" spans="1:12" x14ac:dyDescent="0.35">
      <c r="K1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AD5C-63E9-4AFC-A7F2-32295210EBA4}">
  <dimension ref="A2:K40"/>
  <sheetViews>
    <sheetView workbookViewId="0">
      <selection activeCell="B3" sqref="B3:D5"/>
    </sheetView>
  </sheetViews>
  <sheetFormatPr defaultRowHeight="14.5" x14ac:dyDescent="0.35"/>
  <cols>
    <col min="2" max="3" width="11.6328125" bestFit="1" customWidth="1"/>
    <col min="4" max="5" width="12.6328125" bestFit="1" customWidth="1"/>
    <col min="8" max="8" width="14.7265625" customWidth="1"/>
    <col min="9" max="9" width="9.36328125" bestFit="1" customWidth="1"/>
    <col min="10" max="10" width="12.6328125" bestFit="1" customWidth="1"/>
  </cols>
  <sheetData>
    <row r="2" spans="1:11" x14ac:dyDescent="0.35">
      <c r="A2" t="s">
        <v>18</v>
      </c>
    </row>
    <row r="3" spans="1:11" x14ac:dyDescent="0.35">
      <c r="B3" s="2"/>
      <c r="C3" s="2" t="s">
        <v>21</v>
      </c>
      <c r="D3" s="2" t="s">
        <v>22</v>
      </c>
      <c r="G3" t="s">
        <v>6</v>
      </c>
      <c r="H3" t="s">
        <v>24</v>
      </c>
    </row>
    <row r="4" spans="1:11" x14ac:dyDescent="0.35">
      <c r="B4" s="2" t="s">
        <v>19</v>
      </c>
      <c r="C4" s="2">
        <v>220</v>
      </c>
      <c r="D4" s="2">
        <v>230</v>
      </c>
      <c r="G4" t="s">
        <v>8</v>
      </c>
      <c r="H4" t="s">
        <v>25</v>
      </c>
    </row>
    <row r="5" spans="1:11" x14ac:dyDescent="0.35">
      <c r="B5" s="2" t="s">
        <v>20</v>
      </c>
      <c r="C5" s="2">
        <v>350</v>
      </c>
      <c r="D5" s="2">
        <v>640</v>
      </c>
    </row>
    <row r="9" spans="1:11" x14ac:dyDescent="0.35">
      <c r="B9" t="s">
        <v>26</v>
      </c>
      <c r="H9" t="s">
        <v>27</v>
      </c>
    </row>
    <row r="11" spans="1:11" x14ac:dyDescent="0.35">
      <c r="B11" s="1"/>
      <c r="C11" s="1" t="s">
        <v>21</v>
      </c>
      <c r="D11" s="1" t="s">
        <v>22</v>
      </c>
      <c r="E11" s="1" t="s">
        <v>23</v>
      </c>
      <c r="H11" s="1"/>
      <c r="I11" s="1" t="s">
        <v>21</v>
      </c>
      <c r="J11" s="1" t="s">
        <v>22</v>
      </c>
      <c r="K11" s="1" t="s">
        <v>23</v>
      </c>
    </row>
    <row r="12" spans="1:11" x14ac:dyDescent="0.35">
      <c r="B12" s="1" t="s">
        <v>19</v>
      </c>
      <c r="C12" s="1">
        <v>220</v>
      </c>
      <c r="D12" s="1">
        <v>230</v>
      </c>
      <c r="E12" s="1">
        <v>450</v>
      </c>
      <c r="H12" s="1" t="s">
        <v>19</v>
      </c>
      <c r="I12" s="1">
        <f>C$14*$E12/$E$14</f>
        <v>178.125</v>
      </c>
      <c r="J12" s="1">
        <f>D$14*$E12/$E$14</f>
        <v>271.875</v>
      </c>
      <c r="K12" s="1">
        <f>SUM(I12:J12)</f>
        <v>450</v>
      </c>
    </row>
    <row r="13" spans="1:11" x14ac:dyDescent="0.35">
      <c r="B13" s="1" t="s">
        <v>20</v>
      </c>
      <c r="C13" s="1">
        <v>350</v>
      </c>
      <c r="D13" s="1">
        <v>640</v>
      </c>
      <c r="E13" s="1">
        <v>990</v>
      </c>
      <c r="H13" s="1" t="s">
        <v>20</v>
      </c>
      <c r="I13" s="1">
        <f>C$14*$E13/$E$14</f>
        <v>391.875</v>
      </c>
      <c r="J13" s="1">
        <f>D$14*$E13/$E$14</f>
        <v>598.125</v>
      </c>
      <c r="K13" s="1">
        <f t="shared" ref="K13" si="0">SUM(I13:J13)</f>
        <v>990</v>
      </c>
    </row>
    <row r="14" spans="1:11" x14ac:dyDescent="0.35">
      <c r="B14" s="1" t="s">
        <v>23</v>
      </c>
      <c r="C14" s="1">
        <v>570</v>
      </c>
      <c r="D14" s="1">
        <v>870</v>
      </c>
      <c r="E14" s="1">
        <f>SUM(C14:D14)</f>
        <v>1440</v>
      </c>
      <c r="H14" s="1" t="s">
        <v>23</v>
      </c>
      <c r="I14" s="1">
        <f>SUM(I12:I13)</f>
        <v>570</v>
      </c>
      <c r="J14" s="1">
        <f t="shared" ref="J14:K14" si="1">SUM(J12:J13)</f>
        <v>870</v>
      </c>
      <c r="K14" s="1">
        <f t="shared" si="1"/>
        <v>1440</v>
      </c>
    </row>
    <row r="17" spans="3:6" x14ac:dyDescent="0.35">
      <c r="C17" t="s">
        <v>28</v>
      </c>
    </row>
    <row r="19" spans="3:6" x14ac:dyDescent="0.35">
      <c r="C19" s="1"/>
      <c r="D19" s="1" t="s">
        <v>21</v>
      </c>
      <c r="E19" s="1" t="s">
        <v>22</v>
      </c>
      <c r="F19" s="1" t="s">
        <v>23</v>
      </c>
    </row>
    <row r="20" spans="3:6" x14ac:dyDescent="0.35">
      <c r="C20" s="1" t="s">
        <v>19</v>
      </c>
      <c r="D20" s="1">
        <f>(C12-I12)^2</f>
        <v>1753.515625</v>
      </c>
      <c r="E20" s="1">
        <f>(D12-J12)^2</f>
        <v>1753.515625</v>
      </c>
      <c r="F20" s="1">
        <f>SUM(D20:E20)</f>
        <v>3507.03125</v>
      </c>
    </row>
    <row r="21" spans="3:6" x14ac:dyDescent="0.35">
      <c r="C21" s="1" t="s">
        <v>20</v>
      </c>
      <c r="D21" s="1">
        <f>(C13-I13)^2</f>
        <v>1753.515625</v>
      </c>
      <c r="E21" s="1">
        <f>(D13-J13)^2</f>
        <v>1753.515625</v>
      </c>
      <c r="F21" s="1">
        <f t="shared" ref="F21" si="2">SUM(D21:E21)</f>
        <v>3507.03125</v>
      </c>
    </row>
    <row r="22" spans="3:6" x14ac:dyDescent="0.35">
      <c r="C22" s="1" t="s">
        <v>23</v>
      </c>
      <c r="D22" s="1">
        <f>SUM(D20:D21)</f>
        <v>3507.03125</v>
      </c>
      <c r="E22" s="1">
        <f t="shared" ref="E22" si="3">SUM(E20:E21)</f>
        <v>3507.03125</v>
      </c>
      <c r="F22" s="1">
        <f t="shared" ref="F22" si="4">SUM(F20:F21)</f>
        <v>7014.0625</v>
      </c>
    </row>
    <row r="24" spans="3:6" x14ac:dyDescent="0.35">
      <c r="C24" t="s">
        <v>33</v>
      </c>
    </row>
    <row r="26" spans="3:6" x14ac:dyDescent="0.35">
      <c r="C26" s="1"/>
      <c r="D26" s="1" t="s">
        <v>21</v>
      </c>
      <c r="E26" s="1" t="s">
        <v>22</v>
      </c>
      <c r="F26" s="1" t="s">
        <v>23</v>
      </c>
    </row>
    <row r="27" spans="3:6" x14ac:dyDescent="0.35">
      <c r="C27" s="1" t="s">
        <v>19</v>
      </c>
      <c r="D27" s="1">
        <f>D20/I12</f>
        <v>9.8442982456140342</v>
      </c>
      <c r="E27" s="1">
        <f>E20/J12</f>
        <v>6.4497126436781613</v>
      </c>
      <c r="F27" s="1">
        <f>SUM(D27:E27)</f>
        <v>16.294010889292196</v>
      </c>
    </row>
    <row r="28" spans="3:6" x14ac:dyDescent="0.35">
      <c r="C28" s="1" t="s">
        <v>20</v>
      </c>
      <c r="D28" s="1">
        <f>D21/I13</f>
        <v>4.4746810207336525</v>
      </c>
      <c r="E28" s="1">
        <f>E21/J13</f>
        <v>2.931687565308255</v>
      </c>
      <c r="F28" s="1">
        <f t="shared" ref="F28" si="5">SUM(D28:E28)</f>
        <v>7.4063685860419071</v>
      </c>
    </row>
    <row r="29" spans="3:6" x14ac:dyDescent="0.35">
      <c r="C29" s="1" t="s">
        <v>23</v>
      </c>
      <c r="D29" s="1">
        <f>SUM(D27:D28)</f>
        <v>14.318979266347686</v>
      </c>
      <c r="E29" s="1">
        <f t="shared" ref="E29:F29" si="6">SUM(E27:E28)</f>
        <v>9.3814002089864168</v>
      </c>
      <c r="F29" s="3">
        <f t="shared" si="6"/>
        <v>23.700379475334103</v>
      </c>
    </row>
    <row r="33" spans="2:6" x14ac:dyDescent="0.35">
      <c r="B33" t="s">
        <v>40</v>
      </c>
      <c r="D33" s="1" t="s">
        <v>34</v>
      </c>
      <c r="E33" s="1"/>
      <c r="F33" s="1" t="s">
        <v>35</v>
      </c>
    </row>
    <row r="34" spans="2:6" x14ac:dyDescent="0.35">
      <c r="D34" s="1">
        <v>3.84</v>
      </c>
      <c r="E34" s="1" t="s">
        <v>14</v>
      </c>
      <c r="F34" s="1">
        <v>23.7</v>
      </c>
    </row>
    <row r="37" spans="2:6" x14ac:dyDescent="0.35">
      <c r="B37" t="s">
        <v>15</v>
      </c>
      <c r="C37" t="s">
        <v>36</v>
      </c>
    </row>
    <row r="38" spans="2:6" x14ac:dyDescent="0.35">
      <c r="C38" t="s">
        <v>37</v>
      </c>
    </row>
    <row r="39" spans="2:6" x14ac:dyDescent="0.35">
      <c r="C39" t="s">
        <v>38</v>
      </c>
    </row>
    <row r="40" spans="2:6" x14ac:dyDescent="0.35">
      <c r="C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Q.1</vt:lpstr>
      <vt:lpstr>Q.2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chouhan</dc:creator>
  <cp:lastModifiedBy>srishti chouhan</cp:lastModifiedBy>
  <dcterms:created xsi:type="dcterms:W3CDTF">2026-03-25T04:41:56Z</dcterms:created>
  <dcterms:modified xsi:type="dcterms:W3CDTF">2026-03-25T18:53:35Z</dcterms:modified>
</cp:coreProperties>
</file>